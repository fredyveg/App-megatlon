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BASE" sheetId="1" state="visible" r:id="rId4"/>
    <sheet name="Hoja2" sheetId="2" state="visible" r:id="rId5"/>
  </sheets>
  <definedNames>
    <definedName name="Apellido_y_Nombre" localSheetId="1">BASE!$F$4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<sst xmlns="http://schemas.openxmlformats.org/spreadsheetml/2006/main" count="42" uniqueCount="42">
  <si>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 xml:space="preserve">Completa RRHH</t>
  </si>
  <si>
    <t xml:space="preserve">Mes a  pagar</t>
  </si>
  <si>
    <t>Legajo</t>
  </si>
  <si>
    <t xml:space="preserve">Apellido y Nombre</t>
  </si>
  <si>
    <t>Fecha</t>
  </si>
  <si>
    <t>dia</t>
  </si>
  <si>
    <t>Hasta</t>
  </si>
  <si>
    <t>Total</t>
  </si>
  <si>
    <t xml:space="preserve">JOSE LAGO</t>
  </si>
  <si>
    <t>Empleado</t>
  </si>
  <si>
    <t xml:space="preserve"> ZARZA MARCIA GISELA</t>
  </si>
  <si>
    <t>ENERO</t>
  </si>
  <si>
    <t xml:space="preserve"> RODRIGUEZ ALEJANDRO LUCAS</t>
  </si>
  <si>
    <t>FEBRERO</t>
  </si>
  <si>
    <t xml:space="preserve"> EMCH RICHARD BRUNO</t>
  </si>
  <si>
    <t>MARZO</t>
  </si>
  <si>
    <t xml:space="preserve"> BOLDRINI BUSILACHI CRISTIAN</t>
  </si>
  <si>
    <t>ABRIL</t>
  </si>
  <si>
    <t xml:space="preserve"> CRESPO MATIAS SEBASTIAN</t>
  </si>
  <si>
    <t>MAYO</t>
  </si>
  <si>
    <t xml:space="preserve"> RIPOLL ELIAS ABEL</t>
  </si>
  <si>
    <t>JUNIO</t>
  </si>
  <si>
    <t xml:space="preserve"> BERNARDO VIVIANA NOELIA</t>
  </si>
  <si>
    <t>JULIO</t>
  </si>
  <si>
    <t xml:space="preserve"> GUERRA GONZALEZ YOLKEIDA ANDREINA DEL VAL</t>
  </si>
  <si>
    <t>AGOSTO</t>
  </si>
  <si>
    <t xml:space="preserve"> OJEDA GERMAN LUIS</t>
  </si>
  <si>
    <t>SEPTIEMBRE</t>
  </si>
  <si>
    <t xml:space="preserve"> IOCCO MATIAS HERNAN</t>
  </si>
  <si>
    <t>OCTUBRE</t>
  </si>
  <si>
    <t xml:space="preserve"> FIGUEROA NOELIA ALEJANDRA</t>
  </si>
  <si>
    <t>NOVIEMBRE</t>
  </si>
  <si>
    <t xml:space="preserve"> TORREALBA ARGUINZONES LEONARDO JAVIER</t>
  </si>
  <si>
    <t>DICIEMBRE</t>
  </si>
  <si>
    <t xml:space="preserve"> ALFARO EDGAR SEBASTIAN</t>
  </si>
  <si>
    <t xml:space="preserve"> LEON MARIANGELES GISELLE</t>
  </si>
  <si>
    <t xml:space="preserve"> VILLALBA MARTIN EDUARDO</t>
  </si>
  <si>
    <t xml:space="preserve"> SCARPETTINI MARCO</t>
  </si>
  <si>
    <t xml:space="preserve">SOCOLOVSKY LUCAS</t>
  </si>
  <si>
    <t xml:space="preserve"> BARRIONUEVO CARLOS OMAR</t>
  </si>
  <si>
    <t xml:space="preserve"> CAMAÑO  CARLOS MARIANO </t>
  </si>
  <si>
    <t xml:space="preserve"> RAMIREZ CARLOS NAHUEL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</si>
</sst>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h]:mm"/>
  </numFmts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2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</patternFill>
    </fill>
    <fill>
      <patternFill patternType="solid">
        <fgColor theme="9" tint="0.59999389629810485"/>
      </patternFill>
    </fill>
    <fill>
      <patternFill patternType="solid">
        <fgColor theme="8" tint="0.59999389629810485"/>
      </patternFill>
    </fill>
    <fill>
      <patternFill patternType="solid">
        <fgColor theme="9" tint="0.39997558519241921"/>
      </patternFill>
    </fill>
    <fill>
      <patternFill patternType="solid">
        <fgColor theme="3" tint="0.89999084444715716"/>
      </patternFill>
    </fill>
    <fill>
      <patternFill patternType="solid">
        <fgColor theme="0"/>
      </patternFill>
    </fill>
  </fills>
  <borders count="15">
    <border>
      <left style="none"/>
      <right style="none"/>
      <top style="none"/>
      <bottom style="none"/>
      <diagonal style="none"/>
    </border>
    <border>
      <left style="medium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medium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0" xfId="0" applyProtection="1">
      <protection locked="0"/>
    </xf>
    <xf fontId="1" fillId="0" borderId="1" numFmtId="0" xfId="0" applyFont="1" applyBorder="1" applyAlignment="1" applyProtection="1">
      <alignment horizontal="center"/>
      <protection locked="0"/>
    </xf>
    <xf fontId="1" fillId="0" borderId="2" numFmtId="0" xfId="0" applyFont="1" applyBorder="1" applyAlignment="1" applyProtection="1">
      <alignment horizontal="center"/>
      <protection locked="0"/>
    </xf>
    <xf fontId="1" fillId="2" borderId="1" numFmtId="0" xfId="0" applyFont="1" applyFill="1" applyBorder="1" applyAlignment="1" applyProtection="1">
      <alignment horizontal="center"/>
      <protection locked="0"/>
    </xf>
    <xf fontId="1" fillId="3" borderId="3" numFmtId="0" xfId="0" applyFont="1" applyFill="1" applyBorder="1" applyAlignment="1" applyProtection="1">
      <alignment horizontal="center"/>
      <protection locked="0"/>
    </xf>
    <xf fontId="1" fillId="2" borderId="3" numFmtId="0" xfId="0" applyFont="1" applyFill="1" applyBorder="1" applyAlignment="1" applyProtection="1">
      <alignment horizontal="center"/>
      <protection locked="0"/>
    </xf>
    <xf fontId="2" fillId="4" borderId="2" numFmtId="9" xfId="0" applyNumberFormat="1" applyFont="1" applyFill="1" applyBorder="1" applyAlignment="1" applyProtection="1">
      <alignment horizontal="center"/>
      <protection locked="0"/>
    </xf>
    <xf fontId="0" fillId="2" borderId="4" numFmtId="0" xfId="0" applyFill="1" applyBorder="1" applyAlignment="1" applyProtection="1">
      <alignment horizontal="center"/>
      <protection locked="0"/>
    </xf>
    <xf fontId="0" fillId="5" borderId="5" numFmtId="0" xfId="0" applyFill="1" applyBorder="1" applyAlignment="1" applyProtection="1">
      <alignment horizontal="center"/>
      <protection hidden="1"/>
    </xf>
    <xf fontId="0" fillId="2" borderId="5" numFmtId="0" xfId="0" applyFill="1" applyBorder="1" applyAlignment="1" applyProtection="1">
      <alignment horizontal="center"/>
      <protection locked="0"/>
    </xf>
    <xf fontId="0" fillId="2" borderId="4" numFmtId="14" xfId="0" applyNumberFormat="1" applyFill="1" applyBorder="1" applyAlignment="1" applyProtection="1">
      <alignment horizontal="center"/>
      <protection hidden="1" locked="0"/>
    </xf>
    <xf fontId="0" fillId="2" borderId="5" numFmtId="164" xfId="0" applyNumberFormat="1" applyFill="1" applyBorder="1" applyAlignment="1" applyProtection="1">
      <alignment horizontal="center"/>
      <protection locked="0"/>
    </xf>
    <xf fontId="0" fillId="5" borderId="5" numFmtId="164" xfId="0" applyNumberFormat="1" applyFill="1" applyBorder="1" applyAlignment="1" applyProtection="1">
      <alignment horizontal="center"/>
      <protection hidden="1"/>
    </xf>
    <xf fontId="2" fillId="4" borderId="6" numFmtId="0" xfId="0" applyFont="1" applyFill="1" applyBorder="1" applyAlignment="1" applyProtection="1">
      <alignment horizontal="center"/>
      <protection locked="0"/>
    </xf>
    <xf fontId="2" fillId="4" borderId="7" numFmtId="0" xfId="0" applyFont="1" applyFill="1" applyBorder="1" applyAlignment="1" applyProtection="1">
      <alignment horizontal="center"/>
      <protection locked="0"/>
    </xf>
    <xf fontId="0" fillId="6" borderId="8" numFmtId="0" xfId="0" applyFill="1" applyBorder="1"/>
    <xf fontId="0" fillId="6" borderId="9" numFmtId="0" xfId="0" applyFill="1" applyBorder="1"/>
    <xf fontId="2" fillId="4" borderId="10" numFmtId="0" xfId="0" applyFont="1" applyFill="1" applyBorder="1" applyAlignment="1" applyProtection="1">
      <alignment horizontal="center"/>
      <protection locked="0"/>
    </xf>
    <xf fontId="0" fillId="7" borderId="11" numFmtId="0" xfId="0" applyFill="1" applyBorder="1" applyProtection="1">
      <protection locked="0"/>
    </xf>
    <xf fontId="0" fillId="7" borderId="0" numFmtId="0" xfId="0" applyFill="1" applyProtection="1">
      <protection locked="0"/>
    </xf>
    <xf fontId="0" fillId="0" borderId="12" numFmtId="0" xfId="0" applyBorder="1" applyProtection="1">
      <protection locked="0"/>
    </xf>
    <xf fontId="0" fillId="0" borderId="13" numFmtId="0" xfId="0" applyBorder="1" applyProtection="1">
      <protection locked="0"/>
    </xf>
    <xf fontId="2" fillId="4" borderId="14" numFmtId="0" xfId="0" applyFont="1" applyFill="1" applyBorder="1" applyAlignment="1" applyProtection="1">
      <alignment horizontal="center"/>
      <protection locked="0"/>
    </xf>
    <xf fontId="2" fillId="4" borderId="13" numFmtId="0" xfId="0" applyFont="1" applyFill="1" applyBorder="1" applyAlignment="1" applyProtection="1">
      <alignment horizontal="center"/>
      <protection locked="0"/>
    </xf>
    <xf fontId="0" fillId="0" borderId="0" numFmtId="164" xfId="0" applyNumberForma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worksheet" Target="worksheets/sheet2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0</xdr:colOff>
      <xdr:row>0</xdr:row>
      <xdr:rowOff>19051</xdr:rowOff>
    </xdr:from>
    <xdr:to>
      <xdr:col>2</xdr:col>
      <xdr:colOff>600075</xdr:colOff>
      <xdr:row>1</xdr:row>
      <xdr:rowOff>104775</xdr:rowOff>
    </xdr:to>
    <xdr:sp>
      <xdr:nvSpPr>
        <xdr:cNvPr id="2" name="CuadroTexto 1"/>
        <xdr:cNvSpPr txBox="1"/>
      </xdr:nvSpPr>
      <xdr:spPr bwMode="auto">
        <a:xfrm>
          <a:off x="0" y="19051"/>
          <a:ext cx="2124075" cy="276224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defRPr/>
          </a:pPr>
          <a:r>
            <a:rPr lang="es-AR" sz="1100" b="1"/>
            <a:t>SOLO COMPLETAR</a:t>
          </a:r>
          <a:r>
            <a:rPr lang="es-AR" sz="1100" b="1"/>
            <a:t> LO AMARILLO</a:t>
          </a:r>
          <a:endParaRPr/>
        </a:p>
        <a:p>
          <a:pPr>
            <a:defRPr/>
          </a:pPr>
          <a:endParaRPr lang="es-AR" sz="11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1">
    <outlinePr applyStyles="0" summaryBelow="1" summaryRight="1" showOutlineSymbols="1"/>
    <pageSetUpPr autoPageBreaks="1" fitToPage="0"/>
  </sheetPr>
  <sheetViews>
    <sheetView showGridLines="0" topLeftCell="J1" zoomScale="84" workbookViewId="0">
      <selection activeCell="F11" activeCellId="0" sqref="F11"/>
    </sheetView>
  </sheetViews>
  <sheetFormatPr baseColWidth="10" defaultColWidth="11.453125" defaultRowHeight="14.25"/>
  <cols>
    <col min="1" max="3" style="1" width="11.453125"/>
    <col customWidth="1" min="4" max="4" style="1" width="19.7265625"/>
    <col min="5" max="5" style="1" width="11.453125"/>
    <col bestFit="1" customWidth="1" min="6" max="6" style="1" width="45.453125"/>
    <col customWidth="1" min="7" max="7" style="1" width="20.81640625"/>
    <col customWidth="1" min="8" max="8" style="1" width="16.453125"/>
    <col customWidth="1" min="9" max="9" style="1" width="17.1796875"/>
    <col customWidth="1" min="10" max="10" style="1" width="18.54296875"/>
    <col customWidth="1" min="11" max="11" style="1" width="13.36328125"/>
    <col customWidth="1" min="12" max="12" style="1" width="24"/>
    <col customWidth="1" min="13" max="13" style="1" width="21.54296875"/>
    <col bestFit="1" customWidth="1" min="14" max="14" style="1" width="39.81640625"/>
    <col customWidth="1" min="15" max="15" style="1" width="66.26953125"/>
    <col min="16" max="16384" style="1" width="11.453125"/>
  </cols>
  <sheetData>
    <row r="1" ht="15"/>
    <row r="2" ht="18.75">
      <c r="L2" s="2" t="s">
        <v>0</v>
      </c>
      <c r="M2" s="3"/>
    </row>
    <row r="3" ht="18.75">
      <c r="D3" s="4" t="s">
        <v>1</v>
      </c>
      <c r="E3" s="5" t="s">
        <v>2</v>
      </c>
      <c r="F3" s="6" t="s">
        <v>3</v>
      </c>
      <c r="G3" s="4" t="s">
        <v>4</v>
      </c>
      <c r="H3" s="5" t="s">
        <v>5</v>
      </c>
      <c r="I3" s="6"/>
      <c r="J3" s="6" t="s">
        <v>6</v>
      </c>
      <c r="K3" s="5" t="s">
        <v>7</v>
      </c>
      <c r="L3" s="7">
        <v>0.5</v>
      </c>
      <c r="M3" s="7">
        <v>1</v>
      </c>
    </row>
    <row r="4" ht="16.5">
      <c r="D4" s="8"/>
      <c r="E4" s="9">
        <v>13509</v>
      </c>
      <c r="F4" s="10" t="s">
        <v>8</v>
      </c>
      <c r="G4" s="11"/>
      <c r="H4" s="9" t="str">
        <f>+IF(G4="","",TEXT(G4,"dddd"))</f>
        <v/>
      </c>
      <c r="I4" s="12"/>
      <c r="J4" s="12"/>
      <c r="K4" s="13">
        <f t="shared" ref="K4:K34" si="0">+J4-I4</f>
        <v>0</v>
      </c>
      <c r="L4" s="14"/>
      <c r="M4" s="15"/>
      <c r="N4" s="16"/>
      <c r="O4" s="16"/>
    </row>
    <row r="5" ht="16.5">
      <c r="D5" s="8"/>
      <c r="E5" s="9"/>
      <c r="F5" s="10"/>
      <c r="G5" s="11"/>
      <c r="H5" s="9" t="str">
        <f t="shared" ref="H5:H9" si="1">+IF(G5="","",TEXT(G5,"dddd"))</f>
        <v/>
      </c>
      <c r="I5" s="12"/>
      <c r="J5" s="12"/>
      <c r="K5" s="13">
        <f t="shared" si="0"/>
        <v>0</v>
      </c>
      <c r="L5" s="14"/>
      <c r="M5" s="15"/>
      <c r="N5" s="16"/>
      <c r="O5" s="16"/>
    </row>
    <row r="6" ht="16.5">
      <c r="D6" s="8"/>
      <c r="E6" s="9"/>
      <c r="F6" s="10"/>
      <c r="G6" s="11"/>
      <c r="H6" s="9" t="str">
        <f t="shared" si="1"/>
        <v/>
      </c>
      <c r="I6" s="12"/>
      <c r="J6" s="12"/>
      <c r="K6" s="13">
        <f t="shared" si="0"/>
        <v>0</v>
      </c>
      <c r="L6" s="14"/>
      <c r="M6" s="15"/>
      <c r="N6" s="16"/>
      <c r="O6" s="16"/>
    </row>
    <row r="7" ht="16.5">
      <c r="D7" s="8"/>
      <c r="E7" s="9"/>
      <c r="F7" s="10"/>
      <c r="G7" s="11"/>
      <c r="H7" s="9" t="str">
        <f t="shared" si="1"/>
        <v/>
      </c>
      <c r="I7" s="12"/>
      <c r="J7" s="12"/>
      <c r="K7" s="13">
        <f t="shared" si="0"/>
        <v>0</v>
      </c>
      <c r="L7" s="14"/>
      <c r="M7" s="15"/>
      <c r="N7" s="16"/>
      <c r="O7" s="16"/>
    </row>
    <row r="8" ht="16.5">
      <c r="D8" s="8"/>
      <c r="E8" s="9"/>
      <c r="F8" s="10"/>
      <c r="G8" s="11"/>
      <c r="H8" s="9" t="str">
        <f t="shared" si="1"/>
        <v/>
      </c>
      <c r="I8" s="12"/>
      <c r="J8" s="12"/>
      <c r="K8" s="13">
        <f t="shared" si="0"/>
        <v>0</v>
      </c>
      <c r="L8" s="14"/>
      <c r="M8" s="15"/>
      <c r="N8" s="17"/>
      <c r="O8" s="17"/>
    </row>
    <row r="9" ht="16.5">
      <c r="D9" s="8"/>
      <c r="E9" s="9"/>
      <c r="F9" s="10"/>
      <c r="G9" s="11"/>
      <c r="H9" s="9" t="str">
        <f t="shared" si="1"/>
        <v/>
      </c>
      <c r="I9" s="12"/>
      <c r="J9" s="12"/>
      <c r="K9" s="13">
        <f t="shared" si="0"/>
        <v>0</v>
      </c>
      <c r="L9" s="14"/>
      <c r="M9" s="15"/>
      <c r="N9" s="17"/>
      <c r="O9" s="17"/>
    </row>
    <row r="10" ht="16.5">
      <c r="D10" s="8"/>
      <c r="E10" s="9"/>
      <c r="F10" s="10"/>
      <c r="G10" s="11"/>
      <c r="H10" s="9" t="str">
        <f t="shared" ref="H10:H34" si="2">+IF(G10="","",TEXT(G10,"dddd"))</f>
        <v/>
      </c>
      <c r="I10" s="12"/>
      <c r="J10" s="12"/>
      <c r="K10" s="13">
        <f t="shared" si="0"/>
        <v>0</v>
      </c>
      <c r="L10" s="14"/>
      <c r="M10" s="15"/>
      <c r="N10" s="17"/>
      <c r="O10" s="17"/>
    </row>
    <row r="11" ht="16.5">
      <c r="D11" s="8"/>
      <c r="E11" s="9"/>
      <c r="F11" s="10"/>
      <c r="G11" s="11"/>
      <c r="H11" s="9" t="str">
        <f t="shared" si="2"/>
        <v/>
      </c>
      <c r="I11" s="12"/>
      <c r="J11" s="12"/>
      <c r="K11" s="13">
        <f t="shared" si="0"/>
        <v>0</v>
      </c>
      <c r="L11" s="14"/>
      <c r="M11" s="15"/>
      <c r="N11" s="17"/>
      <c r="O11" s="17"/>
    </row>
    <row r="12" ht="16.5">
      <c r="D12" s="8"/>
      <c r="E12" s="9"/>
      <c r="F12" s="10"/>
      <c r="G12" s="11"/>
      <c r="H12" s="9" t="str">
        <f t="shared" si="2"/>
        <v/>
      </c>
      <c r="I12" s="12"/>
      <c r="J12" s="12"/>
      <c r="K12" s="13">
        <f t="shared" si="0"/>
        <v>0</v>
      </c>
      <c r="L12" s="14"/>
      <c r="M12" s="15"/>
      <c r="N12" s="17"/>
      <c r="O12" s="17"/>
    </row>
    <row r="13" ht="16.5">
      <c r="D13" s="8"/>
      <c r="E13" s="9"/>
      <c r="F13" s="10"/>
      <c r="G13" s="11"/>
      <c r="H13" s="9" t="str">
        <f t="shared" si="2"/>
        <v/>
      </c>
      <c r="I13" s="12"/>
      <c r="J13" s="12"/>
      <c r="K13" s="13">
        <f t="shared" ref="K13:K16" si="3">+J13-I13</f>
        <v>0</v>
      </c>
      <c r="L13" s="14"/>
      <c r="M13" s="15"/>
      <c r="N13" s="17"/>
      <c r="O13" s="17"/>
    </row>
    <row r="14" ht="16.5">
      <c r="D14" s="8"/>
      <c r="E14" s="9"/>
      <c r="F14" s="10"/>
      <c r="G14" s="11"/>
      <c r="H14" s="9" t="str">
        <f t="shared" si="2"/>
        <v/>
      </c>
      <c r="I14" s="12"/>
      <c r="J14" s="12"/>
      <c r="K14" s="13">
        <f t="shared" si="3"/>
        <v>0</v>
      </c>
      <c r="L14" s="14"/>
      <c r="M14" s="15"/>
      <c r="N14" s="17"/>
      <c r="O14" s="17"/>
    </row>
    <row r="15" ht="16.5">
      <c r="D15" s="8"/>
      <c r="E15" s="9"/>
      <c r="F15" s="10"/>
      <c r="G15" s="11"/>
      <c r="H15" s="9" t="str">
        <f t="shared" si="2"/>
        <v/>
      </c>
      <c r="I15" s="12"/>
      <c r="J15" s="12"/>
      <c r="K15" s="13">
        <f t="shared" si="3"/>
        <v>0</v>
      </c>
      <c r="L15" s="14"/>
      <c r="M15" s="15"/>
      <c r="N15" s="17"/>
      <c r="O15" s="17"/>
    </row>
    <row r="16" ht="16.5">
      <c r="D16" s="8"/>
      <c r="E16" s="9"/>
      <c r="F16" s="10"/>
      <c r="G16" s="11"/>
      <c r="H16" s="9" t="str">
        <f t="shared" si="2"/>
        <v/>
      </c>
      <c r="I16" s="12"/>
      <c r="J16" s="12"/>
      <c r="K16" s="13">
        <f t="shared" si="3"/>
        <v>0</v>
      </c>
      <c r="L16" s="14"/>
      <c r="M16" s="15"/>
      <c r="N16" s="17"/>
      <c r="O16" s="17"/>
    </row>
    <row r="17" ht="16.5">
      <c r="D17" s="8"/>
      <c r="E17" s="9"/>
      <c r="F17" s="10"/>
      <c r="G17" s="11"/>
      <c r="H17" s="9" t="str">
        <f t="shared" si="2"/>
        <v/>
      </c>
      <c r="I17" s="12"/>
      <c r="J17" s="12"/>
      <c r="K17" s="13">
        <f t="shared" si="0"/>
        <v>0</v>
      </c>
      <c r="L17" s="14"/>
      <c r="M17" s="15"/>
      <c r="N17" s="17"/>
      <c r="O17" s="17"/>
    </row>
    <row r="18" ht="16.5">
      <c r="D18" s="8"/>
      <c r="E18" s="9"/>
      <c r="F18" s="10"/>
      <c r="G18" s="11"/>
      <c r="H18" s="9" t="str">
        <f t="shared" si="2"/>
        <v/>
      </c>
      <c r="I18" s="12"/>
      <c r="J18" s="12"/>
      <c r="K18" s="13">
        <f t="shared" ref="K18:K19" si="4">+J18-I18</f>
        <v>0</v>
      </c>
      <c r="L18" s="14"/>
      <c r="M18" s="15"/>
      <c r="N18" s="17"/>
      <c r="O18" s="17"/>
    </row>
    <row r="19" ht="16.5">
      <c r="D19" s="8"/>
      <c r="E19" s="9"/>
      <c r="F19" s="10"/>
      <c r="G19" s="11"/>
      <c r="H19" s="9" t="str">
        <f t="shared" si="2"/>
        <v/>
      </c>
      <c r="I19" s="12"/>
      <c r="J19" s="12"/>
      <c r="K19" s="13">
        <f t="shared" si="4"/>
        <v>0</v>
      </c>
      <c r="L19" s="14"/>
      <c r="M19" s="15"/>
      <c r="N19" s="17"/>
      <c r="O19" s="17"/>
    </row>
    <row r="20" ht="16.5">
      <c r="D20" s="8"/>
      <c r="E20" s="9"/>
      <c r="F20" s="10"/>
      <c r="G20" s="11"/>
      <c r="H20" s="9" t="str">
        <f t="shared" si="2"/>
        <v/>
      </c>
      <c r="I20" s="12"/>
      <c r="J20" s="12"/>
      <c r="K20" s="13">
        <f t="shared" si="0"/>
        <v>0</v>
      </c>
      <c r="L20" s="14"/>
      <c r="M20" s="15"/>
      <c r="N20" s="17"/>
      <c r="O20" s="17"/>
    </row>
    <row r="21" ht="16.5">
      <c r="D21" s="8"/>
      <c r="E21" s="9"/>
      <c r="F21" s="10"/>
      <c r="G21" s="11"/>
      <c r="H21" s="9" t="str">
        <f t="shared" si="2"/>
        <v/>
      </c>
      <c r="I21" s="12"/>
      <c r="J21" s="12"/>
      <c r="K21" s="13">
        <f t="shared" si="0"/>
        <v>0</v>
      </c>
      <c r="L21" s="14"/>
      <c r="M21" s="15"/>
      <c r="N21" s="17"/>
      <c r="O21" s="17"/>
    </row>
    <row r="22" ht="16.5">
      <c r="D22" s="8"/>
      <c r="E22" s="9"/>
      <c r="F22" s="10"/>
      <c r="G22" s="11"/>
      <c r="H22" s="9" t="str">
        <f t="shared" si="2"/>
        <v/>
      </c>
      <c r="I22" s="12"/>
      <c r="J22" s="12"/>
      <c r="K22" s="13">
        <f t="shared" si="0"/>
        <v>0</v>
      </c>
      <c r="L22" s="14"/>
      <c r="M22" s="15"/>
      <c r="N22" s="17"/>
      <c r="O22" s="17"/>
    </row>
    <row r="23" ht="16.5">
      <c r="D23" s="8"/>
      <c r="E23" s="9"/>
      <c r="F23" s="10"/>
      <c r="G23" s="11"/>
      <c r="H23" s="9" t="str">
        <f t="shared" si="2"/>
        <v/>
      </c>
      <c r="I23" s="12"/>
      <c r="J23" s="12"/>
      <c r="K23" s="13">
        <f>+J23-I23</f>
        <v>0</v>
      </c>
      <c r="L23" s="14"/>
      <c r="M23" s="15"/>
      <c r="N23" s="17"/>
      <c r="O23" s="17"/>
    </row>
    <row r="24" ht="16.5">
      <c r="D24" s="8"/>
      <c r="E24" s="9"/>
      <c r="F24" s="10"/>
      <c r="G24" s="11"/>
      <c r="H24" s="9" t="str">
        <f t="shared" si="2"/>
        <v/>
      </c>
      <c r="I24" s="12"/>
      <c r="J24" s="12"/>
      <c r="K24" s="13">
        <f t="shared" si="0"/>
        <v>0</v>
      </c>
      <c r="L24" s="14"/>
      <c r="M24" s="18"/>
      <c r="N24" s="17"/>
      <c r="O24" s="17"/>
    </row>
    <row r="25" ht="16.5">
      <c r="D25" s="8"/>
      <c r="E25" s="9"/>
      <c r="F25" s="10"/>
      <c r="G25" s="11"/>
      <c r="H25" s="9" t="str">
        <f t="shared" si="2"/>
        <v/>
      </c>
      <c r="I25" s="12"/>
      <c r="J25" s="12"/>
      <c r="K25" s="13">
        <f t="shared" si="0"/>
        <v>0</v>
      </c>
      <c r="L25" s="14"/>
      <c r="M25" s="15"/>
      <c r="N25" s="19"/>
      <c r="O25" s="20"/>
    </row>
    <row r="26" ht="16.5">
      <c r="D26" s="8"/>
      <c r="E26" s="9"/>
      <c r="F26" s="10"/>
      <c r="G26" s="11"/>
      <c r="H26" s="9" t="str">
        <f t="shared" si="2"/>
        <v/>
      </c>
      <c r="I26" s="12"/>
      <c r="J26" s="12"/>
      <c r="K26" s="13">
        <f t="shared" si="0"/>
        <v>0</v>
      </c>
      <c r="L26" s="14"/>
      <c r="M26" s="15"/>
    </row>
    <row r="27" ht="16.5">
      <c r="D27" s="8"/>
      <c r="E27" s="9"/>
      <c r="F27" s="10"/>
      <c r="G27" s="11"/>
      <c r="H27" s="9" t="str">
        <f t="shared" si="2"/>
        <v/>
      </c>
      <c r="I27" s="12"/>
      <c r="J27" s="12"/>
      <c r="K27" s="13">
        <f t="shared" si="0"/>
        <v>0</v>
      </c>
      <c r="L27" s="14"/>
      <c r="M27" s="15"/>
    </row>
    <row r="28" ht="16.5">
      <c r="D28" s="8"/>
      <c r="E28" s="9"/>
      <c r="F28" s="10"/>
      <c r="G28" s="11"/>
      <c r="H28" s="9" t="str">
        <f t="shared" si="2"/>
        <v/>
      </c>
      <c r="I28" s="12"/>
      <c r="J28" s="12"/>
      <c r="K28" s="13">
        <f t="shared" si="0"/>
        <v>0</v>
      </c>
      <c r="L28" s="14"/>
      <c r="M28" s="15"/>
    </row>
    <row r="29" ht="16.5">
      <c r="D29" s="8"/>
      <c r="E29" s="9"/>
      <c r="F29" s="10"/>
      <c r="G29" s="11"/>
      <c r="H29" s="9" t="str">
        <f t="shared" si="2"/>
        <v/>
      </c>
      <c r="I29" s="12"/>
      <c r="J29" s="12"/>
      <c r="K29" s="13">
        <f t="shared" si="0"/>
        <v>0</v>
      </c>
      <c r="L29" s="14"/>
      <c r="M29" s="15"/>
    </row>
    <row r="30" ht="16.5">
      <c r="D30" s="8"/>
      <c r="E30" s="9"/>
      <c r="F30" s="10"/>
      <c r="G30" s="11"/>
      <c r="H30" s="9" t="str">
        <f t="shared" si="2"/>
        <v/>
      </c>
      <c r="I30" s="12"/>
      <c r="J30" s="12"/>
      <c r="K30" s="13">
        <f t="shared" si="0"/>
        <v>0</v>
      </c>
      <c r="L30" s="14"/>
      <c r="M30" s="15"/>
    </row>
    <row r="31" ht="16.5">
      <c r="D31" s="8"/>
      <c r="E31" s="9" t="str">
        <f>+IFERROR(VLOOKUP(F31,Hoja2!B:C,2,0),"")</f>
        <v/>
      </c>
      <c r="F31" s="10"/>
      <c r="G31" s="11"/>
      <c r="H31" s="9" t="str">
        <f t="shared" si="2"/>
        <v/>
      </c>
      <c r="I31" s="12"/>
      <c r="J31" s="12"/>
      <c r="K31" s="13">
        <f t="shared" si="0"/>
        <v>0</v>
      </c>
      <c r="L31" s="14"/>
      <c r="M31" s="15"/>
    </row>
    <row r="32" ht="16.5">
      <c r="D32" s="8"/>
      <c r="E32" s="9" t="str">
        <f>+IFERROR(VLOOKUP(F32,Hoja2!B:C,2,0),"")</f>
        <v/>
      </c>
      <c r="F32" s="10"/>
      <c r="G32" s="11"/>
      <c r="H32" s="9" t="str">
        <f t="shared" si="2"/>
        <v/>
      </c>
      <c r="I32" s="12"/>
      <c r="J32" s="12"/>
      <c r="K32" s="13">
        <f t="shared" si="0"/>
        <v>0</v>
      </c>
      <c r="L32" s="14"/>
      <c r="M32" s="15"/>
    </row>
    <row r="33" ht="16.5">
      <c r="D33" s="8"/>
      <c r="E33" s="9" t="str">
        <f>+IFERROR(VLOOKUP(F33,Hoja2!B:C,2,0),"")</f>
        <v/>
      </c>
      <c r="F33" s="10"/>
      <c r="G33" s="11"/>
      <c r="H33" s="9" t="str">
        <f t="shared" si="2"/>
        <v/>
      </c>
      <c r="I33" s="12"/>
      <c r="J33" s="12"/>
      <c r="K33" s="13">
        <f t="shared" si="0"/>
        <v>0</v>
      </c>
      <c r="L33" s="14"/>
      <c r="M33" s="15"/>
    </row>
    <row r="34" ht="16.5">
      <c r="D34" s="8"/>
      <c r="E34" s="9" t="str">
        <f>+IFERROR(VLOOKUP(F34,Hoja2!B:C,2,0),"")</f>
        <v/>
      </c>
      <c r="F34" s="10"/>
      <c r="G34" s="11"/>
      <c r="H34" s="9" t="str">
        <f t="shared" si="2"/>
        <v/>
      </c>
      <c r="I34" s="12"/>
      <c r="J34" s="12"/>
      <c r="K34" s="13">
        <f t="shared" si="0"/>
        <v>0</v>
      </c>
      <c r="L34" s="14"/>
      <c r="M34" s="15"/>
    </row>
    <row r="35" ht="16.5">
      <c r="D35" s="21"/>
      <c r="E35" s="22"/>
      <c r="F35" s="22"/>
      <c r="G35" s="21"/>
      <c r="H35" s="22"/>
      <c r="I35" s="22"/>
      <c r="J35" s="22"/>
      <c r="K35" s="22"/>
      <c r="L35" s="23"/>
      <c r="M35" s="24"/>
    </row>
  </sheetData>
  <mergeCells count="1">
    <mergeCell ref="L2:M2"/>
  </mergeCells>
  <dataValidations count="3" disablePrompts="0">
    <dataValidation sqref="F4:F34" type="list" allowBlank="1" errorStyle="stop" imeMode="noControl" operator="between" showDropDown="0" showErrorMessage="1" showInputMessage="1">
      <formula1>Hoja2!$B$2:$B$22</formula1>
    </dataValidation>
    <dataValidation sqref="D4:D34" type="list" allowBlank="1" errorStyle="stop" imeMode="noControl" operator="between" showDropDown="0" showErrorMessage="1" showInputMessage="1">
      <formula1>Hoja2!$F$2:$F$13</formula1>
    </dataValidation>
    <dataValidation sqref="I4:J34" type="list" allowBlank="1" errorStyle="stop" imeMode="noControl" operator="between" showDropDown="0" showErrorMessage="1" showInputMessage="1">
      <formula1>Hoja2!$I$2:$I$28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Hoja2">
    <outlinePr applyStyles="0" summaryBelow="1" summaryRight="1" showOutlineSymbols="1"/>
    <pageSetUpPr autoPageBreaks="1" fitToPage="0"/>
  </sheetPr>
  <sheetViews>
    <sheetView topLeftCell="A11" zoomScale="100" workbookViewId="0">
      <selection activeCell="F17" activeCellId="0" sqref="F17"/>
    </sheetView>
  </sheetViews>
  <sheetFormatPr baseColWidth="10" defaultRowHeight="14.5"/>
  <sheetData>
    <row r="1">
      <c r="B1" t="s">
        <v>3</v>
      </c>
      <c r="C1" t="s">
        <v>9</v>
      </c>
    </row>
    <row r="2">
      <c r="B2" t="s">
        <v>10</v>
      </c>
      <c r="C2">
        <v>10410</v>
      </c>
      <c r="F2" t="s">
        <v>11</v>
      </c>
      <c r="I2" s="25">
        <v>0</v>
      </c>
    </row>
    <row r="3">
      <c r="B3" t="s">
        <v>12</v>
      </c>
      <c r="C3">
        <v>10467</v>
      </c>
      <c r="F3" t="s">
        <v>13</v>
      </c>
      <c r="I3" s="25">
        <v>4.1666666666666699e-002</v>
      </c>
    </row>
    <row r="4">
      <c r="B4" t="s">
        <v>14</v>
      </c>
      <c r="C4">
        <v>10667</v>
      </c>
      <c r="F4" t="s">
        <v>15</v>
      </c>
      <c r="I4" s="25">
        <v>8.3333333333333301e-002</v>
      </c>
    </row>
    <row r="5">
      <c r="B5" t="s">
        <v>16</v>
      </c>
      <c r="C5">
        <v>10820</v>
      </c>
      <c r="F5" t="s">
        <v>17</v>
      </c>
      <c r="I5" s="25">
        <v>0.125</v>
      </c>
    </row>
    <row r="6">
      <c r="B6" t="s">
        <v>18</v>
      </c>
      <c r="C6">
        <v>11346</v>
      </c>
      <c r="F6" t="s">
        <v>19</v>
      </c>
      <c r="I6" s="25">
        <v>0.16666666666666699</v>
      </c>
    </row>
    <row r="7">
      <c r="B7" t="s">
        <v>20</v>
      </c>
      <c r="C7">
        <v>11465</v>
      </c>
      <c r="F7" t="s">
        <v>21</v>
      </c>
      <c r="I7" s="25">
        <v>0.20833333333333301</v>
      </c>
    </row>
    <row r="8">
      <c r="B8" t="s">
        <v>22</v>
      </c>
      <c r="C8">
        <v>11510</v>
      </c>
      <c r="F8" t="s">
        <v>23</v>
      </c>
      <c r="I8" s="25">
        <v>0.25</v>
      </c>
    </row>
    <row r="9">
      <c r="B9" t="s">
        <v>24</v>
      </c>
      <c r="C9">
        <v>11568</v>
      </c>
      <c r="F9" t="s">
        <v>25</v>
      </c>
      <c r="I9" s="25">
        <v>0.29166666666666702</v>
      </c>
    </row>
    <row r="10">
      <c r="B10" t="s">
        <v>26</v>
      </c>
      <c r="C10">
        <v>11636</v>
      </c>
      <c r="F10" t="s">
        <v>27</v>
      </c>
      <c r="I10" s="25">
        <v>0.33333333333333298</v>
      </c>
    </row>
    <row r="11">
      <c r="B11" t="s">
        <v>28</v>
      </c>
      <c r="C11">
        <v>11908</v>
      </c>
      <c r="F11" t="s">
        <v>29</v>
      </c>
      <c r="I11" s="25">
        <v>0.375</v>
      </c>
    </row>
    <row r="12">
      <c r="B12" t="s">
        <v>30</v>
      </c>
      <c r="C12">
        <v>12009</v>
      </c>
      <c r="F12" t="s">
        <v>31</v>
      </c>
      <c r="I12" s="25">
        <v>0.41666666666666702</v>
      </c>
    </row>
    <row r="13">
      <c r="B13" t="s">
        <v>32</v>
      </c>
      <c r="C13">
        <v>12176</v>
      </c>
      <c r="F13" t="s">
        <v>33</v>
      </c>
      <c r="I13" s="25">
        <v>0.45833333333333298</v>
      </c>
    </row>
    <row r="14">
      <c r="B14" t="s">
        <v>34</v>
      </c>
      <c r="C14">
        <v>12256</v>
      </c>
      <c r="I14" s="25">
        <v>0.5</v>
      </c>
    </row>
    <row r="15">
      <c r="B15" t="s">
        <v>35</v>
      </c>
      <c r="C15">
        <v>12272</v>
      </c>
      <c r="I15" s="25">
        <v>0.54166666666666696</v>
      </c>
    </row>
    <row r="16">
      <c r="B16" t="s">
        <v>36</v>
      </c>
      <c r="C16">
        <v>12668</v>
      </c>
      <c r="I16" s="25">
        <v>0.58333333333333304</v>
      </c>
    </row>
    <row r="17">
      <c r="B17" t="s">
        <v>8</v>
      </c>
      <c r="C17">
        <v>13509</v>
      </c>
      <c r="I17" s="25"/>
    </row>
    <row r="18">
      <c r="B18" t="s">
        <v>37</v>
      </c>
      <c r="C18">
        <v>12817</v>
      </c>
      <c r="I18" s="25">
        <v>0.625</v>
      </c>
    </row>
    <row r="19">
      <c r="B19" t="s">
        <v>38</v>
      </c>
      <c r="C19">
        <v>12882</v>
      </c>
      <c r="I19" s="25"/>
    </row>
    <row r="20">
      <c r="B20" t="s">
        <v>39</v>
      </c>
      <c r="C20">
        <v>12876</v>
      </c>
      <c r="I20" s="25">
        <v>0.66666666666666696</v>
      </c>
    </row>
    <row r="21">
      <c r="B21" t="s">
        <v>40</v>
      </c>
      <c r="C21">
        <v>13011</v>
      </c>
      <c r="I21" s="25">
        <v>0.70833333333333304</v>
      </c>
    </row>
    <row r="22">
      <c r="B22" t="s">
        <v>41</v>
      </c>
      <c r="C22">
        <v>50038</v>
      </c>
      <c r="I22" s="25">
        <v>0.75</v>
      </c>
    </row>
    <row r="23">
      <c r="I23" s="25">
        <v>0.79166666666666696</v>
      </c>
    </row>
    <row r="24">
      <c r="I24" s="25">
        <v>0.83333333333333304</v>
      </c>
    </row>
    <row r="25">
      <c r="I25" s="25">
        <v>0.875</v>
      </c>
    </row>
    <row r="26">
      <c r="I26" s="25">
        <v>0.91666666666666696</v>
      </c>
    </row>
    <row r="27">
      <c r="I27" s="25">
        <v>0.95833333333333304</v>
      </c>
    </row>
    <row r="28">
      <c r="I28" s="25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AA40F3D219144894F0F3313322D87B" ma:contentTypeVersion="1" ma:contentTypeDescription="Crear nuevo documento." ma:contentTypeScope="" ma:versionID="cef8d3e9d7a88c9f0713b79130f7708a">
  <xsd:schema xmlns:xsd="http://www.w3.org/2001/XMLSchema" xmlns:xs="http://www.w3.org/2001/XMLSchema" xmlns:p="http://schemas.microsoft.com/office/2006/metadata/properties" xmlns:ns3="a078a4a8-0ad7-4cf9-aa12-915c669e345a" targetNamespace="http://schemas.microsoft.com/office/2006/metadata/properties" ma:root="true" ma:fieldsID="51ff6334516baaf984f727c183db2787" ns3:_="">
    <xsd:import namespace="a078a4a8-0ad7-4cf9-aa12-915c669e34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8a4a8-0ad7-4cf9-aa12-915c669e34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C93C0C36-5A40-48B6-8735-AED28867F6C9">
  <ds:schemaRefs>
    <ds:schemaRef ds:uri="http://purl.org/dc/terms/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a078a4a8-0ad7-4cf9-aa12-915c669e345a"/>
    <ds:schemaRef ds:uri="http://schemas.microsoft.com/office/2006/metadata/properties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32051ECB-FE20-472E-816A-32A4D3053EEF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E7F171AC-FDC9-4520-9E1E-31D80D4D49CA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78a4a8-0ad7-4cf9-aa12-915c669e34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alejandro Fernandez Lacava</dc:creator>
  <cp:revision>1</cp:revision>
  <dcterms:created xsi:type="dcterms:W3CDTF">2023-11-17T14:12:32Z</dcterms:created>
  <dcterms:modified xsi:type="dcterms:W3CDTF">2026-04-21T03:29:34Z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0x010100CCAA40F3D219144894F0F3313322D87B</vt:lpwstr>
  </property>
</Properties>
</file>